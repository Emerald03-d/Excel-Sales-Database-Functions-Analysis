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Emerald\Downloads\"/>
    </mc:Choice>
  </mc:AlternateContent>
  <xr:revisionPtr revIDLastSave="0" documentId="13_ncr:1_{4DC89C4D-B61C-4F82-9784-F3847A315A2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mployee Sale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1" l="1"/>
  <c r="L8" i="1"/>
  <c r="O7" i="1"/>
  <c r="M29" i="1"/>
  <c r="O23" i="1"/>
  <c r="O19" i="1"/>
  <c r="O15" i="1"/>
  <c r="O11" i="1"/>
  <c r="L19" i="1"/>
  <c r="L23" i="1"/>
  <c r="L15" i="1"/>
  <c r="L11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</calcChain>
</file>

<file path=xl/sharedStrings.xml><?xml version="1.0" encoding="utf-8"?>
<sst xmlns="http://schemas.openxmlformats.org/spreadsheetml/2006/main" count="380" uniqueCount="154">
  <si>
    <t>Employee ID</t>
  </si>
  <si>
    <t>Employee Name</t>
  </si>
  <si>
    <t>Department</t>
  </si>
  <si>
    <t>Region</t>
  </si>
  <si>
    <t>Product</t>
  </si>
  <si>
    <t>Unit Price</t>
  </si>
  <si>
    <t>Quantity</t>
  </si>
  <si>
    <t>Discount</t>
  </si>
  <si>
    <t>Total Sales</t>
  </si>
  <si>
    <t>Bonus</t>
  </si>
  <si>
    <t>E1002</t>
  </si>
  <si>
    <t>Daniel Johnson</t>
  </si>
  <si>
    <t>Operations</t>
  </si>
  <si>
    <t>East</t>
  </si>
  <si>
    <t>Keyboard</t>
  </si>
  <si>
    <t>E1003</t>
  </si>
  <si>
    <t>West</t>
  </si>
  <si>
    <t>Mouse</t>
  </si>
  <si>
    <t>E1004</t>
  </si>
  <si>
    <t>Grace Williams</t>
  </si>
  <si>
    <t>Finance</t>
  </si>
  <si>
    <t>South</t>
  </si>
  <si>
    <t>Tablet</t>
  </si>
  <si>
    <t>E1005</t>
  </si>
  <si>
    <t>Emma Brown</t>
  </si>
  <si>
    <t>Sales</t>
  </si>
  <si>
    <t>Phone</t>
  </si>
  <si>
    <t>E1006</t>
  </si>
  <si>
    <t>Emma Thomas</t>
  </si>
  <si>
    <t>Marketing</t>
  </si>
  <si>
    <t>Monitor</t>
  </si>
  <si>
    <t>E1007</t>
  </si>
  <si>
    <t>Noah Williams</t>
  </si>
  <si>
    <t>HR</t>
  </si>
  <si>
    <t>E1008</t>
  </si>
  <si>
    <t>Michael Smith</t>
  </si>
  <si>
    <t>IT</t>
  </si>
  <si>
    <t>Router</t>
  </si>
  <si>
    <t>E1009</t>
  </si>
  <si>
    <t>North</t>
  </si>
  <si>
    <t>E1010</t>
  </si>
  <si>
    <t>E1011</t>
  </si>
  <si>
    <t>James Johnson</t>
  </si>
  <si>
    <t>Laptop</t>
  </si>
  <si>
    <t>E1012</t>
  </si>
  <si>
    <t>John Taylor</t>
  </si>
  <si>
    <t>E1013</t>
  </si>
  <si>
    <t>Olivia Taylor</t>
  </si>
  <si>
    <t>E1014</t>
  </si>
  <si>
    <t>John Williams</t>
  </si>
  <si>
    <t>E1015</t>
  </si>
  <si>
    <t>James Brown</t>
  </si>
  <si>
    <t>E1016</t>
  </si>
  <si>
    <t>David Brown</t>
  </si>
  <si>
    <t>E1017</t>
  </si>
  <si>
    <t>Liam Taylor</t>
  </si>
  <si>
    <t>E1018</t>
  </si>
  <si>
    <t>E1019</t>
  </si>
  <si>
    <t>John Johnson</t>
  </si>
  <si>
    <t>E1020</t>
  </si>
  <si>
    <t>Michael Williams</t>
  </si>
  <si>
    <t>Printer</t>
  </si>
  <si>
    <t>E1021</t>
  </si>
  <si>
    <t>E1022</t>
  </si>
  <si>
    <t>Noah Thomas</t>
  </si>
  <si>
    <t>E1023</t>
  </si>
  <si>
    <t>Noah Smith</t>
  </si>
  <si>
    <t>E1024</t>
  </si>
  <si>
    <t>Ella Brown</t>
  </si>
  <si>
    <t>E1025</t>
  </si>
  <si>
    <t>Esther Taylor</t>
  </si>
  <si>
    <t>E1026</t>
  </si>
  <si>
    <t>Mary Williams</t>
  </si>
  <si>
    <t>E1027</t>
  </si>
  <si>
    <t>John Thomas</t>
  </si>
  <si>
    <t>E1028</t>
  </si>
  <si>
    <t>Liam Williams</t>
  </si>
  <si>
    <t>E1029</t>
  </si>
  <si>
    <t>David Johnson</t>
  </si>
  <si>
    <t>E1030</t>
  </si>
  <si>
    <t>Samuel Thomas</t>
  </si>
  <si>
    <t>E1031</t>
  </si>
  <si>
    <t>Mary Thomas</t>
  </si>
  <si>
    <t>E1032</t>
  </si>
  <si>
    <t>Olivia Thomas</t>
  </si>
  <si>
    <t>E1033</t>
  </si>
  <si>
    <t>Daniel Taylor</t>
  </si>
  <si>
    <t>E1034</t>
  </si>
  <si>
    <t>James Williams</t>
  </si>
  <si>
    <t>E1035</t>
  </si>
  <si>
    <t>E1036</t>
  </si>
  <si>
    <t>Michael Thomas</t>
  </si>
  <si>
    <t>E1037</t>
  </si>
  <si>
    <t>E1038</t>
  </si>
  <si>
    <t>Ella Taylor</t>
  </si>
  <si>
    <t>E1039</t>
  </si>
  <si>
    <t>Esther Thomas</t>
  </si>
  <si>
    <t>E1040</t>
  </si>
  <si>
    <t>Liam Johnson</t>
  </si>
  <si>
    <t>E1041</t>
  </si>
  <si>
    <t>E1042</t>
  </si>
  <si>
    <t>Sophia Williams</t>
  </si>
  <si>
    <t>E1043</t>
  </si>
  <si>
    <t>Sophia Thomas</t>
  </si>
  <si>
    <t>E1044</t>
  </si>
  <si>
    <t>E1045</t>
  </si>
  <si>
    <t>Grace Brown</t>
  </si>
  <si>
    <t>E1046</t>
  </si>
  <si>
    <t>E1047</t>
  </si>
  <si>
    <t>E1048</t>
  </si>
  <si>
    <t>E1049</t>
  </si>
  <si>
    <t>E1050</t>
  </si>
  <si>
    <t>Daniel Smith</t>
  </si>
  <si>
    <t>E1051</t>
  </si>
  <si>
    <t>Noah Johnson</t>
  </si>
  <si>
    <t>E1052</t>
  </si>
  <si>
    <t>E1053</t>
  </si>
  <si>
    <t>Samuel Smith</t>
  </si>
  <si>
    <t>E1054</t>
  </si>
  <si>
    <t>E1055</t>
  </si>
  <si>
    <t>Olivia Smith</t>
  </si>
  <si>
    <t>E1056</t>
  </si>
  <si>
    <t>E1057</t>
  </si>
  <si>
    <t>E1058</t>
  </si>
  <si>
    <t>James Smith</t>
  </si>
  <si>
    <t>E1059</t>
  </si>
  <si>
    <t>Esther Brown</t>
  </si>
  <si>
    <t>E1060</t>
  </si>
  <si>
    <t>Daniel Williams</t>
  </si>
  <si>
    <t>E1061</t>
  </si>
  <si>
    <t>Ella Williams</t>
  </si>
  <si>
    <t>E1062</t>
  </si>
  <si>
    <t>Ella Johnson</t>
  </si>
  <si>
    <t>E1063</t>
  </si>
  <si>
    <t>Ella Smith</t>
  </si>
  <si>
    <t>E1064</t>
  </si>
  <si>
    <t>E1065</t>
  </si>
  <si>
    <t>E1066</t>
  </si>
  <si>
    <t>Liam Brown</t>
  </si>
  <si>
    <t>E1067</t>
  </si>
  <si>
    <t>James Thomas</t>
  </si>
  <si>
    <t>E1068</t>
  </si>
  <si>
    <t>E1069</t>
  </si>
  <si>
    <t>E1070</t>
  </si>
  <si>
    <t>E1071</t>
  </si>
  <si>
    <t>Noah Brown</t>
  </si>
  <si>
    <t>TOTAL BILL INVOICE</t>
  </si>
  <si>
    <t>AVERAGE SALES</t>
  </si>
  <si>
    <t xml:space="preserve">HIGHEST SALES </t>
  </si>
  <si>
    <t>LOWEST SALES</t>
  </si>
  <si>
    <t xml:space="preserve">TOTAL SALES </t>
  </si>
  <si>
    <t>TWO CONDITIONS</t>
  </si>
  <si>
    <t>THREE CONDITIONS</t>
  </si>
  <si>
    <t>ONE 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</si>
</sst>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₦#,##0"/>
    <numFmt numFmtId="165" formatCode="&quot;₦&quot;#,##0.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0.59999389629810485"/>
        <bgColor theme="4" tint="0.5999938962981048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9" fontId="0" fillId="0" borderId="1" xfId="0" applyNumberFormat="1" applyBorder="1"/>
    <xf numFmtId="0" fontId="2" fillId="2" borderId="1" xfId="0" applyFont="1" applyFill="1" applyBorder="1"/>
    <xf numFmtId="0" fontId="0" fillId="3" borderId="1" xfId="0" applyFill="1" applyBorder="1"/>
    <xf numFmtId="0" fontId="3" fillId="0" borderId="0" xfId="0" applyFont="1"/>
    <xf numFmtId="165" fontId="0" fillId="3" borderId="1" xfId="0" applyNumberFormat="1" applyFill="1" applyBorder="1"/>
  </cellXfs>
  <cellStyles count="1">
    <cellStyle name="Normal" xfId="0" builtinId="0"/>
  </cellStyles>
  <dxfs count="1"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Data" displayName="SalesData" ref="A1:J71">
  <autoFilter ref="A1:J71" xr:uid="{00000000-0009-0000-0100-000001000000}"/>
  <tableColumns count="10">
    <tableColumn id="1" xr3:uid="{00000000-0010-0000-0000-000001000000}" name="Employee ID"/>
    <tableColumn id="2" xr3:uid="{00000000-0010-0000-0000-000002000000}" name="Employee Name"/>
    <tableColumn id="3" xr3:uid="{00000000-0010-0000-0000-000003000000}" name="Department"/>
    <tableColumn id="4" xr3:uid="{00000000-0010-0000-0000-000004000000}" name="Region"/>
    <tableColumn id="5" xr3:uid="{00000000-0010-0000-0000-000005000000}" name="Product"/>
    <tableColumn id="6" xr3:uid="{00000000-0010-0000-0000-000006000000}" name="Unit Price"/>
    <tableColumn id="7" xr3:uid="{00000000-0010-0000-0000-000007000000}" name="Quantity"/>
    <tableColumn id="8" xr3:uid="{00000000-0010-0000-0000-000008000000}" name="Discount"/>
    <tableColumn id="9" xr3:uid="{00000000-0010-0000-0000-000009000000}" name="Total Sales"/>
    <tableColumn id="10" xr3:uid="{00000000-0010-0000-0000-00000A000000}" name="Bonus" dataDxfId="0">
      <calculatedColumnFormula>IF(SalesData[[#This Row],[Total Sales]]&gt;5000,"Qualified","Not qualified")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1"/>
  <sheetViews>
    <sheetView tabSelected="1" zoomScale="75" workbookViewId="0">
      <selection activeCell="M3" sqref="M3"/>
    </sheetView>
  </sheetViews>
  <sheetFormatPr defaultColWidth="8.85546875" defaultRowHeight="15" x14ac:dyDescent="0.25"/>
  <cols>
    <col min="1" max="1" width="15" customWidth="1"/>
    <col min="2" max="2" width="24" customWidth="1"/>
    <col min="3" max="3" width="16" customWidth="1"/>
    <col min="4" max="4" width="12" customWidth="1"/>
    <col min="5" max="5" width="16" customWidth="1"/>
    <col min="6" max="6" width="12" customWidth="1"/>
    <col min="7" max="8" width="10" customWidth="1"/>
    <col min="9" max="9" width="14" customWidth="1"/>
    <col min="10" max="10" width="15.28515625" customWidth="1"/>
    <col min="12" max="12" width="18" bestFit="1" customWidth="1"/>
    <col min="13" max="13" width="20.42578125" bestFit="1" customWidth="1"/>
    <col min="14" max="14" width="10.7109375" bestFit="1" customWidth="1"/>
    <col min="15" max="15" width="19.42578125" bestFit="1" customWidth="1"/>
    <col min="16" max="16" width="10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6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3">
        <v>500</v>
      </c>
      <c r="G2" s="2">
        <v>1</v>
      </c>
      <c r="H2" s="4">
        <v>0.05</v>
      </c>
      <c r="I2" s="3">
        <v>500</v>
      </c>
      <c r="J2" s="2" t="str">
        <f>IF(SalesData[[#This Row],[Total Sales]]&gt;5000,"Qualified","Not qualified")</f>
        <v>Not qualified</v>
      </c>
      <c r="L2" s="5" t="s">
        <v>4</v>
      </c>
      <c r="M2" s="5" t="s">
        <v>3</v>
      </c>
      <c r="N2" s="5" t="s">
        <v>2</v>
      </c>
    </row>
    <row r="3" spans="1:16" x14ac:dyDescent="0.25">
      <c r="A3" s="2" t="s">
        <v>15</v>
      </c>
      <c r="B3" s="2" t="s">
        <v>11</v>
      </c>
      <c r="C3" s="2" t="s">
        <v>12</v>
      </c>
      <c r="D3" s="2" t="s">
        <v>16</v>
      </c>
      <c r="E3" s="2" t="s">
        <v>17</v>
      </c>
      <c r="F3" s="3">
        <v>800</v>
      </c>
      <c r="G3" s="2">
        <v>1</v>
      </c>
      <c r="H3" s="4">
        <v>0.1</v>
      </c>
      <c r="I3" s="3">
        <v>800</v>
      </c>
      <c r="J3" s="2" t="str">
        <f>IF(SalesData[[#This Row],[Total Sales]]&gt;5000,"Qualified","Not qualified")</f>
        <v>Not qualified</v>
      </c>
      <c r="L3" s="6" t="s">
        <v>14</v>
      </c>
      <c r="M3" s="6" t="s">
        <v>16</v>
      </c>
      <c r="N3" s="6" t="s">
        <v>12</v>
      </c>
    </row>
    <row r="4" spans="1:16" ht="18.75" x14ac:dyDescent="0.3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3">
        <v>300</v>
      </c>
      <c r="G4" s="2">
        <v>1</v>
      </c>
      <c r="H4" s="4">
        <v>0.1</v>
      </c>
      <c r="I4" s="3">
        <v>300</v>
      </c>
      <c r="J4" s="2" t="str">
        <f>IF(SalesData[[#This Row],[Total Sales]]&gt;5000,"Qualified","Not qualified")</f>
        <v>Not qualified</v>
      </c>
      <c r="O4" s="7" t="s">
        <v>151</v>
      </c>
      <c r="P4" s="7"/>
    </row>
    <row r="5" spans="1:16" ht="18.75" x14ac:dyDescent="0.3">
      <c r="A5" s="2" t="s">
        <v>23</v>
      </c>
      <c r="B5" s="2" t="s">
        <v>24</v>
      </c>
      <c r="C5" s="2" t="s">
        <v>25</v>
      </c>
      <c r="D5" s="2" t="s">
        <v>13</v>
      </c>
      <c r="E5" s="2" t="s">
        <v>26</v>
      </c>
      <c r="F5" s="3">
        <v>200</v>
      </c>
      <c r="G5" s="2">
        <v>1</v>
      </c>
      <c r="H5" s="4">
        <v>0</v>
      </c>
      <c r="I5" s="3">
        <v>200</v>
      </c>
      <c r="J5" s="2" t="str">
        <f>IF(SalesData[[#This Row],[Total Sales]]&gt;5000,"Qualified","Not qualified")</f>
        <v>Not qualified</v>
      </c>
      <c r="L5" s="7" t="s">
        <v>153</v>
      </c>
      <c r="O5" s="7"/>
      <c r="P5" s="7"/>
    </row>
    <row r="6" spans="1:16" x14ac:dyDescent="0.25">
      <c r="A6" s="2" t="s">
        <v>27</v>
      </c>
      <c r="B6" s="2" t="s">
        <v>28</v>
      </c>
      <c r="C6" s="2" t="s">
        <v>29</v>
      </c>
      <c r="D6" s="2" t="s">
        <v>21</v>
      </c>
      <c r="E6" s="2" t="s">
        <v>30</v>
      </c>
      <c r="F6" s="3">
        <v>500</v>
      </c>
      <c r="G6" s="2">
        <v>8</v>
      </c>
      <c r="H6" s="4">
        <v>0</v>
      </c>
      <c r="I6" s="3">
        <v>4000</v>
      </c>
      <c r="J6" s="2" t="str">
        <f>IF(SalesData[[#This Row],[Total Sales]]&gt;5000,"Qualified","Not qualified")</f>
        <v>Not qualified</v>
      </c>
      <c r="L6" s="5" t="s">
        <v>146</v>
      </c>
      <c r="O6" s="1" t="s">
        <v>146</v>
      </c>
    </row>
    <row r="7" spans="1:16" x14ac:dyDescent="0.25">
      <c r="A7" s="2" t="s">
        <v>31</v>
      </c>
      <c r="B7" s="2" t="s">
        <v>32</v>
      </c>
      <c r="C7" s="2" t="s">
        <v>33</v>
      </c>
      <c r="D7" s="2" t="s">
        <v>13</v>
      </c>
      <c r="E7" s="2" t="s">
        <v>14</v>
      </c>
      <c r="F7" s="3">
        <v>150</v>
      </c>
      <c r="G7" s="2">
        <v>9</v>
      </c>
      <c r="H7" s="4">
        <v>0.03</v>
      </c>
      <c r="I7" s="3">
        <v>1350</v>
      </c>
      <c r="J7" s="2" t="str">
        <f>IF(SalesData[[#This Row],[Total Sales]]&gt;5000,"Qualified","Not qualified")</f>
        <v>Not qualified</v>
      </c>
      <c r="L7" s="6">
        <f>DCOUNT(SalesData[#All],SalesData[[#Headers],[Total Sales]],L2:L3)</f>
        <v>11</v>
      </c>
      <c r="O7" s="6">
        <f>COUNTIFS(SalesData[Product],L3,SalesData[Region],M3)</f>
        <v>2</v>
      </c>
    </row>
    <row r="8" spans="1:16" x14ac:dyDescent="0.25">
      <c r="A8" s="2" t="s">
        <v>34</v>
      </c>
      <c r="B8" s="2" t="s">
        <v>35</v>
      </c>
      <c r="C8" s="2" t="s">
        <v>36</v>
      </c>
      <c r="D8" s="2" t="s">
        <v>16</v>
      </c>
      <c r="E8" s="2" t="s">
        <v>37</v>
      </c>
      <c r="F8" s="3">
        <v>650</v>
      </c>
      <c r="G8" s="2">
        <v>10</v>
      </c>
      <c r="H8" s="4">
        <v>0.08</v>
      </c>
      <c r="I8" s="3">
        <v>6500</v>
      </c>
      <c r="J8" s="2" t="str">
        <f>IF(SalesData[[#This Row],[Total Sales]]&gt;5000,"Qualified","Not qualified")</f>
        <v>Qualified</v>
      </c>
      <c r="L8">
        <f>COUNTIF(SalesData[Product],L3)</f>
        <v>11</v>
      </c>
    </row>
    <row r="9" spans="1:16" x14ac:dyDescent="0.25">
      <c r="A9" s="2" t="s">
        <v>38</v>
      </c>
      <c r="B9" s="2" t="s">
        <v>35</v>
      </c>
      <c r="C9" s="2" t="s">
        <v>12</v>
      </c>
      <c r="D9" s="2" t="s">
        <v>39</v>
      </c>
      <c r="E9" s="2" t="s">
        <v>17</v>
      </c>
      <c r="F9" s="3">
        <v>350</v>
      </c>
      <c r="G9" s="2">
        <v>6</v>
      </c>
      <c r="H9" s="4">
        <v>0.05</v>
      </c>
      <c r="I9" s="3">
        <v>2100</v>
      </c>
      <c r="J9" s="2" t="str">
        <f>IF(SalesData[[#This Row],[Total Sales]]&gt;5000,"Qualified","Not qualified")</f>
        <v>Not qualified</v>
      </c>
    </row>
    <row r="10" spans="1:16" x14ac:dyDescent="0.25">
      <c r="A10" s="2" t="s">
        <v>40</v>
      </c>
      <c r="B10" s="2" t="s">
        <v>28</v>
      </c>
      <c r="C10" s="2" t="s">
        <v>36</v>
      </c>
      <c r="D10" s="2" t="s">
        <v>13</v>
      </c>
      <c r="E10" s="2" t="s">
        <v>30</v>
      </c>
      <c r="F10" s="3">
        <v>350</v>
      </c>
      <c r="G10" s="2">
        <v>4</v>
      </c>
      <c r="H10" s="4">
        <v>0.05</v>
      </c>
      <c r="I10" s="3">
        <v>1400</v>
      </c>
      <c r="J10" s="2" t="str">
        <f>IF(SalesData[[#This Row],[Total Sales]]&gt;5000,"Qualified","Not qualified")</f>
        <v>Not qualified</v>
      </c>
      <c r="L10" s="5" t="s">
        <v>150</v>
      </c>
      <c r="O10" s="5" t="s">
        <v>150</v>
      </c>
    </row>
    <row r="11" spans="1:16" x14ac:dyDescent="0.25">
      <c r="A11" s="2" t="s">
        <v>41</v>
      </c>
      <c r="B11" s="2" t="s">
        <v>42</v>
      </c>
      <c r="C11" s="2" t="s">
        <v>29</v>
      </c>
      <c r="D11" s="2" t="s">
        <v>21</v>
      </c>
      <c r="E11" s="2" t="s">
        <v>43</v>
      </c>
      <c r="F11" s="3">
        <v>500</v>
      </c>
      <c r="G11" s="2">
        <v>14</v>
      </c>
      <c r="H11" s="4">
        <v>0.08</v>
      </c>
      <c r="I11" s="3">
        <v>7000</v>
      </c>
      <c r="J11" s="2" t="str">
        <f>IF(SalesData[[#This Row],[Total Sales]]&gt;5000,"Qualified","Not qualified")</f>
        <v>Qualified</v>
      </c>
      <c r="L11" s="8">
        <f>SUMIF(SalesData[[#All],[Product]],L3,SalesData[[#All],[Total Sales]])</f>
        <v>41050</v>
      </c>
      <c r="O11" s="8">
        <f>SUMIFS(SalesData[[#All],[Total Sales]],SalesData[[#All],[Product]],L3,SalesData[[#All],[Region]],M3)</f>
        <v>5250</v>
      </c>
    </row>
    <row r="12" spans="1:16" x14ac:dyDescent="0.25">
      <c r="A12" s="2" t="s">
        <v>44</v>
      </c>
      <c r="B12" s="2" t="s">
        <v>45</v>
      </c>
      <c r="C12" s="2" t="s">
        <v>25</v>
      </c>
      <c r="D12" s="2" t="s">
        <v>21</v>
      </c>
      <c r="E12" s="2" t="s">
        <v>26</v>
      </c>
      <c r="F12" s="3">
        <v>150</v>
      </c>
      <c r="G12" s="2">
        <v>7</v>
      </c>
      <c r="H12" s="4">
        <v>0.03</v>
      </c>
      <c r="I12" s="3">
        <v>1050</v>
      </c>
      <c r="J12" s="2" t="str">
        <f>IF(SalesData[[#This Row],[Total Sales]]&gt;5000,"Qualified","Not qualified")</f>
        <v>Not qualified</v>
      </c>
    </row>
    <row r="13" spans="1:16" x14ac:dyDescent="0.25">
      <c r="A13" s="2" t="s">
        <v>46</v>
      </c>
      <c r="B13" s="2" t="s">
        <v>47</v>
      </c>
      <c r="C13" s="2" t="s">
        <v>25</v>
      </c>
      <c r="D13" s="2" t="s">
        <v>21</v>
      </c>
      <c r="E13" s="2" t="s">
        <v>14</v>
      </c>
      <c r="F13" s="3">
        <v>200</v>
      </c>
      <c r="G13" s="2">
        <v>12</v>
      </c>
      <c r="H13" s="4">
        <v>0.05</v>
      </c>
      <c r="I13" s="3">
        <v>2400</v>
      </c>
      <c r="J13" s="2" t="str">
        <f>IF(SalesData[[#This Row],[Total Sales]]&gt;5000,"Qualified","Not qualified")</f>
        <v>Not qualified</v>
      </c>
    </row>
    <row r="14" spans="1:16" x14ac:dyDescent="0.25">
      <c r="A14" s="2" t="s">
        <v>48</v>
      </c>
      <c r="B14" s="2" t="s">
        <v>49</v>
      </c>
      <c r="C14" s="2" t="s">
        <v>20</v>
      </c>
      <c r="D14" s="2" t="s">
        <v>16</v>
      </c>
      <c r="E14" s="2" t="s">
        <v>22</v>
      </c>
      <c r="F14" s="3">
        <v>150</v>
      </c>
      <c r="G14" s="2">
        <v>9</v>
      </c>
      <c r="H14" s="4">
        <v>0.08</v>
      </c>
      <c r="I14" s="3">
        <v>1350</v>
      </c>
      <c r="J14" s="2" t="str">
        <f>IF(SalesData[[#This Row],[Total Sales]]&gt;5000,"Qualified","Not qualified")</f>
        <v>Not qualified</v>
      </c>
      <c r="L14" s="5" t="s">
        <v>147</v>
      </c>
      <c r="O14" s="5" t="s">
        <v>147</v>
      </c>
    </row>
    <row r="15" spans="1:16" x14ac:dyDescent="0.25">
      <c r="A15" s="2" t="s">
        <v>50</v>
      </c>
      <c r="B15" s="2" t="s">
        <v>51</v>
      </c>
      <c r="C15" s="2" t="s">
        <v>20</v>
      </c>
      <c r="D15" s="2" t="s">
        <v>13</v>
      </c>
      <c r="E15" s="2" t="s">
        <v>37</v>
      </c>
      <c r="F15" s="3">
        <v>650</v>
      </c>
      <c r="G15" s="2">
        <v>12</v>
      </c>
      <c r="H15" s="4">
        <v>0.08</v>
      </c>
      <c r="I15" s="3">
        <v>7800</v>
      </c>
      <c r="J15" s="2" t="str">
        <f>IF(SalesData[[#This Row],[Total Sales]]&gt;5000,"Qualified","Not qualified")</f>
        <v>Qualified</v>
      </c>
      <c r="L15" s="8">
        <f>AVERAGEIF(SalesData[[#All],[Product]],L3,SalesData[[#All],[Total Sales]])</f>
        <v>3731.818181818182</v>
      </c>
      <c r="O15" s="8">
        <f>AVERAGEIFS(SalesData[[#All],[Total Sales]],SalesData[[#All],[Product]],L3,SalesData[[#All],[Region]],M3)</f>
        <v>2625</v>
      </c>
    </row>
    <row r="16" spans="1:16" x14ac:dyDescent="0.25">
      <c r="A16" s="2" t="s">
        <v>52</v>
      </c>
      <c r="B16" s="2" t="s">
        <v>53</v>
      </c>
      <c r="C16" s="2" t="s">
        <v>36</v>
      </c>
      <c r="D16" s="2" t="s">
        <v>13</v>
      </c>
      <c r="E16" s="2" t="s">
        <v>14</v>
      </c>
      <c r="F16" s="3">
        <v>300</v>
      </c>
      <c r="G16" s="2">
        <v>13</v>
      </c>
      <c r="H16" s="4">
        <v>0.03</v>
      </c>
      <c r="I16" s="3">
        <v>3900</v>
      </c>
      <c r="J16" s="2" t="str">
        <f>IF(SalesData[[#This Row],[Total Sales]]&gt;5000,"Qualified","Not qualified")</f>
        <v>Not qualified</v>
      </c>
    </row>
    <row r="17" spans="1:15" x14ac:dyDescent="0.25">
      <c r="A17" s="2" t="s">
        <v>54</v>
      </c>
      <c r="B17" s="2" t="s">
        <v>55</v>
      </c>
      <c r="C17" s="2" t="s">
        <v>25</v>
      </c>
      <c r="D17" s="2" t="s">
        <v>13</v>
      </c>
      <c r="E17" s="2" t="s">
        <v>22</v>
      </c>
      <c r="F17" s="3">
        <v>250</v>
      </c>
      <c r="G17" s="2">
        <v>4</v>
      </c>
      <c r="H17" s="4">
        <v>0</v>
      </c>
      <c r="I17" s="3">
        <v>1000</v>
      </c>
      <c r="J17" s="2" t="str">
        <f>IF(SalesData[[#This Row],[Total Sales]]&gt;5000,"Qualified","Not qualified")</f>
        <v>Not qualified</v>
      </c>
    </row>
    <row r="18" spans="1:15" x14ac:dyDescent="0.25">
      <c r="A18" s="2" t="s">
        <v>56</v>
      </c>
      <c r="B18" s="2" t="s">
        <v>35</v>
      </c>
      <c r="C18" s="2" t="s">
        <v>33</v>
      </c>
      <c r="D18" s="2" t="s">
        <v>39</v>
      </c>
      <c r="E18" s="2" t="s">
        <v>22</v>
      </c>
      <c r="F18" s="3">
        <v>800</v>
      </c>
      <c r="G18" s="2">
        <v>9</v>
      </c>
      <c r="H18" s="4">
        <v>0.03</v>
      </c>
      <c r="I18" s="3">
        <v>7200</v>
      </c>
      <c r="J18" s="2" t="str">
        <f>IF(SalesData[[#This Row],[Total Sales]]&gt;5000,"Qualified","Not qualified")</f>
        <v>Qualified</v>
      </c>
      <c r="L18" s="1" t="s">
        <v>148</v>
      </c>
      <c r="O18" s="1" t="s">
        <v>148</v>
      </c>
    </row>
    <row r="19" spans="1:15" x14ac:dyDescent="0.25">
      <c r="A19" s="2" t="s">
        <v>57</v>
      </c>
      <c r="B19" s="2" t="s">
        <v>58</v>
      </c>
      <c r="C19" s="2" t="s">
        <v>12</v>
      </c>
      <c r="D19" s="2" t="s">
        <v>13</v>
      </c>
      <c r="E19" s="2" t="s">
        <v>30</v>
      </c>
      <c r="F19" s="3">
        <v>300</v>
      </c>
      <c r="G19" s="2">
        <v>13</v>
      </c>
      <c r="H19" s="4">
        <v>0.1</v>
      </c>
      <c r="I19" s="3">
        <v>3900</v>
      </c>
      <c r="J19" s="2" t="str">
        <f>IF(SalesData[[#This Row],[Total Sales]]&gt;5000,"Qualified","Not qualified")</f>
        <v>Not qualified</v>
      </c>
      <c r="L19" s="8">
        <f>DMAX(SalesData[#All],SalesData[[#Headers],[Total Sales]],L2:L3)</f>
        <v>12000</v>
      </c>
      <c r="O19" s="8">
        <f>_xlfn.MAXIFS(SalesData[[#All],[Total Sales]],SalesData[[#All],[Product]],L3,SalesData[[#All],[Region]],M3)</f>
        <v>3600</v>
      </c>
    </row>
    <row r="20" spans="1:15" x14ac:dyDescent="0.25">
      <c r="A20" s="2" t="s">
        <v>59</v>
      </c>
      <c r="B20" s="2" t="s">
        <v>60</v>
      </c>
      <c r="C20" s="2" t="s">
        <v>36</v>
      </c>
      <c r="D20" s="2" t="s">
        <v>13</v>
      </c>
      <c r="E20" s="2" t="s">
        <v>61</v>
      </c>
      <c r="F20" s="3">
        <v>650</v>
      </c>
      <c r="G20" s="2">
        <v>15</v>
      </c>
      <c r="H20" s="4">
        <v>0.03</v>
      </c>
      <c r="I20" s="3">
        <v>9750</v>
      </c>
      <c r="J20" s="2" t="str">
        <f>IF(SalesData[[#This Row],[Total Sales]]&gt;5000,"Qualified","Not qualified")</f>
        <v>Qualified</v>
      </c>
    </row>
    <row r="21" spans="1:15" x14ac:dyDescent="0.25">
      <c r="A21" s="2" t="s">
        <v>62</v>
      </c>
      <c r="B21" s="2" t="s">
        <v>11</v>
      </c>
      <c r="C21" s="2" t="s">
        <v>29</v>
      </c>
      <c r="D21" s="2" t="s">
        <v>39</v>
      </c>
      <c r="E21" s="2" t="s">
        <v>61</v>
      </c>
      <c r="F21" s="3">
        <v>400</v>
      </c>
      <c r="G21" s="2">
        <v>14</v>
      </c>
      <c r="H21" s="4">
        <v>0.1</v>
      </c>
      <c r="I21" s="3">
        <v>5600</v>
      </c>
      <c r="J21" s="2" t="str">
        <f>IF(SalesData[[#This Row],[Total Sales]]&gt;5000,"Qualified","Not qualified")</f>
        <v>Qualified</v>
      </c>
    </row>
    <row r="22" spans="1:15" x14ac:dyDescent="0.25">
      <c r="A22" s="2" t="s">
        <v>63</v>
      </c>
      <c r="B22" s="2" t="s">
        <v>64</v>
      </c>
      <c r="C22" s="2" t="s">
        <v>36</v>
      </c>
      <c r="D22" s="2" t="s">
        <v>21</v>
      </c>
      <c r="E22" s="2" t="s">
        <v>61</v>
      </c>
      <c r="F22" s="3">
        <v>800</v>
      </c>
      <c r="G22" s="2">
        <v>5</v>
      </c>
      <c r="H22" s="4">
        <v>0</v>
      </c>
      <c r="I22" s="3">
        <v>4000</v>
      </c>
      <c r="J22" s="2" t="str">
        <f>IF(SalesData[[#This Row],[Total Sales]]&gt;5000,"Qualified","Not qualified")</f>
        <v>Not qualified</v>
      </c>
      <c r="L22" s="1" t="s">
        <v>149</v>
      </c>
      <c r="O22" s="1" t="s">
        <v>149</v>
      </c>
    </row>
    <row r="23" spans="1:15" x14ac:dyDescent="0.25">
      <c r="A23" s="2" t="s">
        <v>65</v>
      </c>
      <c r="B23" s="2" t="s">
        <v>66</v>
      </c>
      <c r="C23" s="2" t="s">
        <v>12</v>
      </c>
      <c r="D23" s="2" t="s">
        <v>39</v>
      </c>
      <c r="E23" s="2" t="s">
        <v>14</v>
      </c>
      <c r="F23" s="3">
        <v>800</v>
      </c>
      <c r="G23" s="2">
        <v>15</v>
      </c>
      <c r="H23" s="4">
        <v>0.05</v>
      </c>
      <c r="I23" s="3">
        <v>12000</v>
      </c>
      <c r="J23" s="2" t="str">
        <f>IF(SalesData[[#This Row],[Total Sales]]&gt;5000,"Qualified","Not qualified")</f>
        <v>Qualified</v>
      </c>
      <c r="L23" s="8">
        <f>DMIN(SalesData[#All],SalesData[[#Headers],[Total Sales]],L2:L3)</f>
        <v>500</v>
      </c>
      <c r="O23" s="8">
        <f>_xlfn.MINIFS(SalesData[[#All],[Total Sales]],SalesData[[#All],[Product]],L3,SalesData[[#All],[Region]],M3)</f>
        <v>1650</v>
      </c>
    </row>
    <row r="24" spans="1:15" x14ac:dyDescent="0.25">
      <c r="A24" s="2" t="s">
        <v>67</v>
      </c>
      <c r="B24" s="2" t="s">
        <v>68</v>
      </c>
      <c r="C24" s="2" t="s">
        <v>33</v>
      </c>
      <c r="D24" s="2" t="s">
        <v>21</v>
      </c>
      <c r="E24" s="2" t="s">
        <v>26</v>
      </c>
      <c r="F24" s="3">
        <v>650</v>
      </c>
      <c r="G24" s="2">
        <v>1</v>
      </c>
      <c r="H24" s="4">
        <v>0.1</v>
      </c>
      <c r="I24" s="3">
        <v>650</v>
      </c>
      <c r="J24" s="2" t="str">
        <f>IF(SalesData[[#This Row],[Total Sales]]&gt;5000,"Qualified","Not qualified")</f>
        <v>Not qualified</v>
      </c>
    </row>
    <row r="25" spans="1:15" x14ac:dyDescent="0.25">
      <c r="A25" s="2" t="s">
        <v>69</v>
      </c>
      <c r="B25" s="2" t="s">
        <v>70</v>
      </c>
      <c r="C25" s="2" t="s">
        <v>12</v>
      </c>
      <c r="D25" s="2" t="s">
        <v>13</v>
      </c>
      <c r="E25" s="2" t="s">
        <v>43</v>
      </c>
      <c r="F25" s="3">
        <v>500</v>
      </c>
      <c r="G25" s="2">
        <v>7</v>
      </c>
      <c r="H25" s="4">
        <v>0.1</v>
      </c>
      <c r="I25" s="3">
        <v>3500</v>
      </c>
      <c r="J25" s="2" t="str">
        <f>IF(SalesData[[#This Row],[Total Sales]]&gt;5000,"Qualified","Not qualified")</f>
        <v>Not qualified</v>
      </c>
    </row>
    <row r="26" spans="1:15" ht="18.75" x14ac:dyDescent="0.3">
      <c r="A26" s="2" t="s">
        <v>71</v>
      </c>
      <c r="B26" s="2" t="s">
        <v>72</v>
      </c>
      <c r="C26" s="2" t="s">
        <v>33</v>
      </c>
      <c r="D26" s="2" t="s">
        <v>13</v>
      </c>
      <c r="E26" s="2" t="s">
        <v>22</v>
      </c>
      <c r="F26" s="3">
        <v>500</v>
      </c>
      <c r="G26" s="2">
        <v>10</v>
      </c>
      <c r="H26" s="4">
        <v>0.03</v>
      </c>
      <c r="I26" s="3">
        <v>5000</v>
      </c>
      <c r="J26" s="2" t="str">
        <f>IF(SalesData[[#This Row],[Total Sales]]&gt;5000,"Qualified","Not qualified")</f>
        <v>Not qualified</v>
      </c>
      <c r="M26" s="7" t="s">
        <v>152</v>
      </c>
    </row>
    <row r="27" spans="1:15" x14ac:dyDescent="0.25">
      <c r="A27" s="2" t="s">
        <v>73</v>
      </c>
      <c r="B27" s="2" t="s">
        <v>74</v>
      </c>
      <c r="C27" s="2" t="s">
        <v>12</v>
      </c>
      <c r="D27" s="2" t="s">
        <v>21</v>
      </c>
      <c r="E27" s="2" t="s">
        <v>43</v>
      </c>
      <c r="F27" s="3">
        <v>150</v>
      </c>
      <c r="G27" s="2">
        <v>15</v>
      </c>
      <c r="H27" s="4">
        <v>0</v>
      </c>
      <c r="I27" s="3">
        <v>2250</v>
      </c>
      <c r="J27" s="2" t="str">
        <f>IF(SalesData[[#This Row],[Total Sales]]&gt;5000,"Qualified","Not qualified")</f>
        <v>Not qualified</v>
      </c>
    </row>
    <row r="28" spans="1:15" x14ac:dyDescent="0.25">
      <c r="A28" s="2" t="s">
        <v>75</v>
      </c>
      <c r="B28" s="2" t="s">
        <v>76</v>
      </c>
      <c r="C28" s="2" t="s">
        <v>29</v>
      </c>
      <c r="D28" s="2" t="s">
        <v>21</v>
      </c>
      <c r="E28" s="2" t="s">
        <v>26</v>
      </c>
      <c r="F28" s="3">
        <v>200</v>
      </c>
      <c r="G28" s="2">
        <v>12</v>
      </c>
      <c r="H28" s="4">
        <v>0.05</v>
      </c>
      <c r="I28" s="3">
        <v>2400</v>
      </c>
      <c r="J28" s="2" t="str">
        <f>IF(SalesData[[#This Row],[Total Sales]]&gt;5000,"Qualified","Not qualified")</f>
        <v>Not qualified</v>
      </c>
      <c r="M28" s="5" t="s">
        <v>150</v>
      </c>
    </row>
    <row r="29" spans="1:15" x14ac:dyDescent="0.25">
      <c r="A29" s="2" t="s">
        <v>77</v>
      </c>
      <c r="B29" s="2" t="s">
        <v>78</v>
      </c>
      <c r="C29" s="2" t="s">
        <v>20</v>
      </c>
      <c r="D29" s="2" t="s">
        <v>16</v>
      </c>
      <c r="E29" s="2" t="s">
        <v>30</v>
      </c>
      <c r="F29" s="3">
        <v>300</v>
      </c>
      <c r="G29" s="2">
        <v>9</v>
      </c>
      <c r="H29" s="4">
        <v>0.1</v>
      </c>
      <c r="I29" s="3">
        <v>2700</v>
      </c>
      <c r="J29" s="2" t="str">
        <f>IF(SalesData[[#This Row],[Total Sales]]&gt;5000,"Qualified","Not qualified")</f>
        <v>Not qualified</v>
      </c>
      <c r="M29" s="8">
        <f>SUMIFS(SalesData[[#All],[Total Sales]],SalesData[[#All],[Product]],L3,SalesData[[#All],[Region]],M3,SalesData[[#All],[Department]],N3)</f>
        <v>0</v>
      </c>
    </row>
    <row r="30" spans="1:15" x14ac:dyDescent="0.25">
      <c r="A30" s="2" t="s">
        <v>79</v>
      </c>
      <c r="B30" s="2" t="s">
        <v>80</v>
      </c>
      <c r="C30" s="2" t="s">
        <v>36</v>
      </c>
      <c r="D30" s="2" t="s">
        <v>21</v>
      </c>
      <c r="E30" s="2" t="s">
        <v>30</v>
      </c>
      <c r="F30" s="3">
        <v>500</v>
      </c>
      <c r="G30" s="2">
        <v>6</v>
      </c>
      <c r="H30" s="4">
        <v>0.05</v>
      </c>
      <c r="I30" s="3">
        <v>3000</v>
      </c>
      <c r="J30" s="2" t="str">
        <f>IF(SalesData[[#This Row],[Total Sales]]&gt;5000,"Qualified","Not qualified")</f>
        <v>Not qualified</v>
      </c>
    </row>
    <row r="31" spans="1:15" x14ac:dyDescent="0.25">
      <c r="A31" s="2" t="s">
        <v>81</v>
      </c>
      <c r="B31" s="2" t="s">
        <v>82</v>
      </c>
      <c r="C31" s="2" t="s">
        <v>20</v>
      </c>
      <c r="D31" s="2" t="s">
        <v>21</v>
      </c>
      <c r="E31" s="2" t="s">
        <v>30</v>
      </c>
      <c r="F31" s="3">
        <v>350</v>
      </c>
      <c r="G31" s="2">
        <v>5</v>
      </c>
      <c r="H31" s="4">
        <v>0.03</v>
      </c>
      <c r="I31" s="3">
        <v>1750</v>
      </c>
      <c r="J31" s="2" t="str">
        <f>IF(SalesData[[#This Row],[Total Sales]]&gt;5000,"Qualified","Not qualified")</f>
        <v>Not qualified</v>
      </c>
    </row>
    <row r="32" spans="1:15" x14ac:dyDescent="0.25">
      <c r="A32" s="2" t="s">
        <v>83</v>
      </c>
      <c r="B32" s="2" t="s">
        <v>84</v>
      </c>
      <c r="C32" s="2" t="s">
        <v>12</v>
      </c>
      <c r="D32" s="2" t="s">
        <v>16</v>
      </c>
      <c r="E32" s="2" t="s">
        <v>22</v>
      </c>
      <c r="F32" s="3">
        <v>250</v>
      </c>
      <c r="G32" s="2">
        <v>1</v>
      </c>
      <c r="H32" s="4">
        <v>0.03</v>
      </c>
      <c r="I32" s="3">
        <v>250</v>
      </c>
      <c r="J32" s="2" t="str">
        <f>IF(SalesData[[#This Row],[Total Sales]]&gt;5000,"Qualified","Not qualified")</f>
        <v>Not qualified</v>
      </c>
    </row>
    <row r="33" spans="1:10" x14ac:dyDescent="0.25">
      <c r="A33" s="2" t="s">
        <v>85</v>
      </c>
      <c r="B33" s="2" t="s">
        <v>86</v>
      </c>
      <c r="C33" s="2" t="s">
        <v>36</v>
      </c>
      <c r="D33" s="2" t="s">
        <v>16</v>
      </c>
      <c r="E33" s="2" t="s">
        <v>14</v>
      </c>
      <c r="F33" s="3">
        <v>150</v>
      </c>
      <c r="G33" s="2">
        <v>11</v>
      </c>
      <c r="H33" s="4">
        <v>0.1</v>
      </c>
      <c r="I33" s="3">
        <v>1650</v>
      </c>
      <c r="J33" s="2" t="str">
        <f>IF(SalesData[[#This Row],[Total Sales]]&gt;5000,"Qualified","Not qualified")</f>
        <v>Not qualified</v>
      </c>
    </row>
    <row r="34" spans="1:10" x14ac:dyDescent="0.25">
      <c r="A34" s="2" t="s">
        <v>87</v>
      </c>
      <c r="B34" s="2" t="s">
        <v>88</v>
      </c>
      <c r="C34" s="2" t="s">
        <v>33</v>
      </c>
      <c r="D34" s="2" t="s">
        <v>13</v>
      </c>
      <c r="E34" s="2" t="s">
        <v>30</v>
      </c>
      <c r="F34" s="3">
        <v>300</v>
      </c>
      <c r="G34" s="2">
        <v>1</v>
      </c>
      <c r="H34" s="4">
        <v>0.05</v>
      </c>
      <c r="I34" s="3">
        <v>300</v>
      </c>
      <c r="J34" s="2" t="str">
        <f>IF(SalesData[[#This Row],[Total Sales]]&gt;5000,"Qualified","Not qualified")</f>
        <v>Not qualified</v>
      </c>
    </row>
    <row r="35" spans="1:10" x14ac:dyDescent="0.25">
      <c r="A35" s="2" t="s">
        <v>89</v>
      </c>
      <c r="B35" s="2" t="s">
        <v>42</v>
      </c>
      <c r="C35" s="2" t="s">
        <v>33</v>
      </c>
      <c r="D35" s="2" t="s">
        <v>16</v>
      </c>
      <c r="E35" s="2" t="s">
        <v>61</v>
      </c>
      <c r="F35" s="3">
        <v>300</v>
      </c>
      <c r="G35" s="2">
        <v>9</v>
      </c>
      <c r="H35" s="4">
        <v>0.03</v>
      </c>
      <c r="I35" s="3">
        <v>2700</v>
      </c>
      <c r="J35" s="2" t="str">
        <f>IF(SalesData[[#This Row],[Total Sales]]&gt;5000,"Qualified","Not qualified")</f>
        <v>Not qualified</v>
      </c>
    </row>
    <row r="36" spans="1:10" x14ac:dyDescent="0.25">
      <c r="A36" s="2" t="s">
        <v>90</v>
      </c>
      <c r="B36" s="2" t="s">
        <v>91</v>
      </c>
      <c r="C36" s="2" t="s">
        <v>20</v>
      </c>
      <c r="D36" s="2" t="s">
        <v>21</v>
      </c>
      <c r="E36" s="2" t="s">
        <v>37</v>
      </c>
      <c r="F36" s="3">
        <v>500</v>
      </c>
      <c r="G36" s="2">
        <v>10</v>
      </c>
      <c r="H36" s="4">
        <v>0.1</v>
      </c>
      <c r="I36" s="3">
        <v>5000</v>
      </c>
      <c r="J36" s="2" t="str">
        <f>IF(SalesData[[#This Row],[Total Sales]]&gt;5000,"Qualified","Not qualified")</f>
        <v>Not qualified</v>
      </c>
    </row>
    <row r="37" spans="1:10" x14ac:dyDescent="0.25">
      <c r="A37" s="2" t="s">
        <v>92</v>
      </c>
      <c r="B37" s="2" t="s">
        <v>28</v>
      </c>
      <c r="C37" s="2" t="s">
        <v>33</v>
      </c>
      <c r="D37" s="2" t="s">
        <v>16</v>
      </c>
      <c r="E37" s="2" t="s">
        <v>37</v>
      </c>
      <c r="F37" s="3">
        <v>150</v>
      </c>
      <c r="G37" s="2">
        <v>14</v>
      </c>
      <c r="H37" s="4">
        <v>0.03</v>
      </c>
      <c r="I37" s="3">
        <v>2100</v>
      </c>
      <c r="J37" s="2" t="str">
        <f>IF(SalesData[[#This Row],[Total Sales]]&gt;5000,"Qualified","Not qualified")</f>
        <v>Not qualified</v>
      </c>
    </row>
    <row r="38" spans="1:10" x14ac:dyDescent="0.25">
      <c r="A38" s="2" t="s">
        <v>93</v>
      </c>
      <c r="B38" s="2" t="s">
        <v>94</v>
      </c>
      <c r="C38" s="2" t="s">
        <v>12</v>
      </c>
      <c r="D38" s="2" t="s">
        <v>16</v>
      </c>
      <c r="E38" s="2" t="s">
        <v>37</v>
      </c>
      <c r="F38" s="3">
        <v>150</v>
      </c>
      <c r="G38" s="2">
        <v>2</v>
      </c>
      <c r="H38" s="4">
        <v>0.1</v>
      </c>
      <c r="I38" s="3">
        <v>300</v>
      </c>
      <c r="J38" s="2" t="str">
        <f>IF(SalesData[[#This Row],[Total Sales]]&gt;5000,"Qualified","Not qualified")</f>
        <v>Not qualified</v>
      </c>
    </row>
    <row r="39" spans="1:10" x14ac:dyDescent="0.25">
      <c r="A39" s="2" t="s">
        <v>95</v>
      </c>
      <c r="B39" s="2" t="s">
        <v>96</v>
      </c>
      <c r="C39" s="2" t="s">
        <v>20</v>
      </c>
      <c r="D39" s="2" t="s">
        <v>13</v>
      </c>
      <c r="E39" s="2" t="s">
        <v>43</v>
      </c>
      <c r="F39" s="3">
        <v>400</v>
      </c>
      <c r="G39" s="2">
        <v>13</v>
      </c>
      <c r="H39" s="4">
        <v>0.08</v>
      </c>
      <c r="I39" s="3">
        <v>5200</v>
      </c>
      <c r="J39" s="2" t="str">
        <f>IF(SalesData[[#This Row],[Total Sales]]&gt;5000,"Qualified","Not qualified")</f>
        <v>Qualified</v>
      </c>
    </row>
    <row r="40" spans="1:10" x14ac:dyDescent="0.25">
      <c r="A40" s="2" t="s">
        <v>97</v>
      </c>
      <c r="B40" s="2" t="s">
        <v>98</v>
      </c>
      <c r="C40" s="2" t="s">
        <v>12</v>
      </c>
      <c r="D40" s="2" t="s">
        <v>13</v>
      </c>
      <c r="E40" s="2" t="s">
        <v>14</v>
      </c>
      <c r="F40" s="3">
        <v>250</v>
      </c>
      <c r="G40" s="2">
        <v>8</v>
      </c>
      <c r="H40" s="4">
        <v>0.03</v>
      </c>
      <c r="I40" s="3">
        <v>2000</v>
      </c>
      <c r="J40" s="2" t="str">
        <f>IF(SalesData[[#This Row],[Total Sales]]&gt;5000,"Qualified","Not qualified")</f>
        <v>Not qualified</v>
      </c>
    </row>
    <row r="41" spans="1:10" x14ac:dyDescent="0.25">
      <c r="A41" s="2" t="s">
        <v>99</v>
      </c>
      <c r="B41" s="2" t="s">
        <v>47</v>
      </c>
      <c r="C41" s="2" t="s">
        <v>33</v>
      </c>
      <c r="D41" s="2" t="s">
        <v>13</v>
      </c>
      <c r="E41" s="2" t="s">
        <v>37</v>
      </c>
      <c r="F41" s="3">
        <v>150</v>
      </c>
      <c r="G41" s="2">
        <v>7</v>
      </c>
      <c r="H41" s="4">
        <v>0.05</v>
      </c>
      <c r="I41" s="3">
        <v>1050</v>
      </c>
      <c r="J41" s="2" t="str">
        <f>IF(SalesData[[#This Row],[Total Sales]]&gt;5000,"Qualified","Not qualified")</f>
        <v>Not qualified</v>
      </c>
    </row>
    <row r="42" spans="1:10" x14ac:dyDescent="0.25">
      <c r="A42" s="2" t="s">
        <v>100</v>
      </c>
      <c r="B42" s="2" t="s">
        <v>101</v>
      </c>
      <c r="C42" s="2" t="s">
        <v>12</v>
      </c>
      <c r="D42" s="2" t="s">
        <v>13</v>
      </c>
      <c r="E42" s="2" t="s">
        <v>26</v>
      </c>
      <c r="F42" s="3">
        <v>400</v>
      </c>
      <c r="G42" s="2">
        <v>3</v>
      </c>
      <c r="H42" s="4">
        <v>0.03</v>
      </c>
      <c r="I42" s="3">
        <v>1200</v>
      </c>
      <c r="J42" s="2" t="str">
        <f>IF(SalesData[[#This Row],[Total Sales]]&gt;5000,"Qualified","Not qualified")</f>
        <v>Not qualified</v>
      </c>
    </row>
    <row r="43" spans="1:10" x14ac:dyDescent="0.25">
      <c r="A43" s="2" t="s">
        <v>102</v>
      </c>
      <c r="B43" s="2" t="s">
        <v>103</v>
      </c>
      <c r="C43" s="2" t="s">
        <v>25</v>
      </c>
      <c r="D43" s="2" t="s">
        <v>16</v>
      </c>
      <c r="E43" s="2" t="s">
        <v>26</v>
      </c>
      <c r="F43" s="3">
        <v>500</v>
      </c>
      <c r="G43" s="2">
        <v>10</v>
      </c>
      <c r="H43" s="4">
        <v>0.05</v>
      </c>
      <c r="I43" s="3">
        <v>5000</v>
      </c>
      <c r="J43" s="2" t="str">
        <f>IF(SalesData[[#This Row],[Total Sales]]&gt;5000,"Qualified","Not qualified")</f>
        <v>Not qualified</v>
      </c>
    </row>
    <row r="44" spans="1:10" x14ac:dyDescent="0.25">
      <c r="A44" s="2" t="s">
        <v>104</v>
      </c>
      <c r="B44" s="2" t="s">
        <v>88</v>
      </c>
      <c r="C44" s="2" t="s">
        <v>36</v>
      </c>
      <c r="D44" s="2" t="s">
        <v>16</v>
      </c>
      <c r="E44" s="2" t="s">
        <v>26</v>
      </c>
      <c r="F44" s="3">
        <v>500</v>
      </c>
      <c r="G44" s="2">
        <v>14</v>
      </c>
      <c r="H44" s="4">
        <v>0.03</v>
      </c>
      <c r="I44" s="3">
        <v>7000</v>
      </c>
      <c r="J44" s="2" t="str">
        <f>IF(SalesData[[#This Row],[Total Sales]]&gt;5000,"Qualified","Not qualified")</f>
        <v>Qualified</v>
      </c>
    </row>
    <row r="45" spans="1:10" x14ac:dyDescent="0.25">
      <c r="A45" s="2" t="s">
        <v>105</v>
      </c>
      <c r="B45" s="2" t="s">
        <v>106</v>
      </c>
      <c r="C45" s="2" t="s">
        <v>20</v>
      </c>
      <c r="D45" s="2" t="s">
        <v>39</v>
      </c>
      <c r="E45" s="2" t="s">
        <v>61</v>
      </c>
      <c r="F45" s="3">
        <v>800</v>
      </c>
      <c r="G45" s="2">
        <v>15</v>
      </c>
      <c r="H45" s="4">
        <v>0</v>
      </c>
      <c r="I45" s="3">
        <v>12000</v>
      </c>
      <c r="J45" s="2" t="str">
        <f>IF(SalesData[[#This Row],[Total Sales]]&gt;5000,"Qualified","Not qualified")</f>
        <v>Qualified</v>
      </c>
    </row>
    <row r="46" spans="1:10" x14ac:dyDescent="0.25">
      <c r="A46" s="2" t="s">
        <v>107</v>
      </c>
      <c r="B46" s="2" t="s">
        <v>28</v>
      </c>
      <c r="C46" s="2" t="s">
        <v>12</v>
      </c>
      <c r="D46" s="2" t="s">
        <v>13</v>
      </c>
      <c r="E46" s="2" t="s">
        <v>61</v>
      </c>
      <c r="F46" s="3">
        <v>250</v>
      </c>
      <c r="G46" s="2">
        <v>14</v>
      </c>
      <c r="H46" s="4">
        <v>0.05</v>
      </c>
      <c r="I46" s="3">
        <v>3500</v>
      </c>
      <c r="J46" s="2" t="str">
        <f>IF(SalesData[[#This Row],[Total Sales]]&gt;5000,"Qualified","Not qualified")</f>
        <v>Not qualified</v>
      </c>
    </row>
    <row r="47" spans="1:10" x14ac:dyDescent="0.25">
      <c r="A47" s="2" t="s">
        <v>108</v>
      </c>
      <c r="B47" s="2" t="s">
        <v>24</v>
      </c>
      <c r="C47" s="2" t="s">
        <v>12</v>
      </c>
      <c r="D47" s="2" t="s">
        <v>39</v>
      </c>
      <c r="E47" s="2" t="s">
        <v>61</v>
      </c>
      <c r="F47" s="3">
        <v>150</v>
      </c>
      <c r="G47" s="2">
        <v>1</v>
      </c>
      <c r="H47" s="4">
        <v>0.03</v>
      </c>
      <c r="I47" s="3">
        <v>150</v>
      </c>
      <c r="J47" s="2" t="str">
        <f>IF(SalesData[[#This Row],[Total Sales]]&gt;5000,"Qualified","Not qualified")</f>
        <v>Not qualified</v>
      </c>
    </row>
    <row r="48" spans="1:10" x14ac:dyDescent="0.25">
      <c r="A48" s="2" t="s">
        <v>109</v>
      </c>
      <c r="B48" s="2" t="s">
        <v>53</v>
      </c>
      <c r="C48" s="2" t="s">
        <v>33</v>
      </c>
      <c r="D48" s="2" t="s">
        <v>13</v>
      </c>
      <c r="E48" s="2" t="s">
        <v>17</v>
      </c>
      <c r="F48" s="3">
        <v>250</v>
      </c>
      <c r="G48" s="2">
        <v>13</v>
      </c>
      <c r="H48" s="4">
        <v>0.05</v>
      </c>
      <c r="I48" s="3">
        <v>3250</v>
      </c>
      <c r="J48" s="2" t="str">
        <f>IF(SalesData[[#This Row],[Total Sales]]&gt;5000,"Qualified","Not qualified")</f>
        <v>Not qualified</v>
      </c>
    </row>
    <row r="49" spans="1:10" x14ac:dyDescent="0.25">
      <c r="A49" s="2" t="s">
        <v>110</v>
      </c>
      <c r="B49" s="2" t="s">
        <v>35</v>
      </c>
      <c r="C49" s="2" t="s">
        <v>29</v>
      </c>
      <c r="D49" s="2" t="s">
        <v>39</v>
      </c>
      <c r="E49" s="2" t="s">
        <v>22</v>
      </c>
      <c r="F49" s="3">
        <v>650</v>
      </c>
      <c r="G49" s="2">
        <v>9</v>
      </c>
      <c r="H49" s="4">
        <v>0.03</v>
      </c>
      <c r="I49" s="3">
        <v>5850</v>
      </c>
      <c r="J49" s="2" t="str">
        <f>IF(SalesData[[#This Row],[Total Sales]]&gt;5000,"Qualified","Not qualified")</f>
        <v>Qualified</v>
      </c>
    </row>
    <row r="50" spans="1:10" x14ac:dyDescent="0.25">
      <c r="A50" s="2" t="s">
        <v>111</v>
      </c>
      <c r="B50" s="2" t="s">
        <v>112</v>
      </c>
      <c r="C50" s="2" t="s">
        <v>29</v>
      </c>
      <c r="D50" s="2" t="s">
        <v>39</v>
      </c>
      <c r="E50" s="2" t="s">
        <v>14</v>
      </c>
      <c r="F50" s="3">
        <v>500</v>
      </c>
      <c r="G50" s="2">
        <v>9</v>
      </c>
      <c r="H50" s="4">
        <v>0.08</v>
      </c>
      <c r="I50" s="3">
        <v>4500</v>
      </c>
      <c r="J50" s="2" t="str">
        <f>IF(SalesData[[#This Row],[Total Sales]]&gt;5000,"Qualified","Not qualified")</f>
        <v>Not qualified</v>
      </c>
    </row>
    <row r="51" spans="1:10" x14ac:dyDescent="0.25">
      <c r="A51" s="2" t="s">
        <v>113</v>
      </c>
      <c r="B51" s="2" t="s">
        <v>114</v>
      </c>
      <c r="C51" s="2" t="s">
        <v>36</v>
      </c>
      <c r="D51" s="2" t="s">
        <v>13</v>
      </c>
      <c r="E51" s="2" t="s">
        <v>26</v>
      </c>
      <c r="F51" s="3">
        <v>500</v>
      </c>
      <c r="G51" s="2">
        <v>15</v>
      </c>
      <c r="H51" s="4">
        <v>0.1</v>
      </c>
      <c r="I51" s="3">
        <v>7500</v>
      </c>
      <c r="J51" s="2" t="str">
        <f>IF(SalesData[[#This Row],[Total Sales]]&gt;5000,"Qualified","Not qualified")</f>
        <v>Qualified</v>
      </c>
    </row>
    <row r="52" spans="1:10" x14ac:dyDescent="0.25">
      <c r="A52" s="2" t="s">
        <v>115</v>
      </c>
      <c r="B52" s="2" t="s">
        <v>74</v>
      </c>
      <c r="C52" s="2" t="s">
        <v>12</v>
      </c>
      <c r="D52" s="2" t="s">
        <v>39</v>
      </c>
      <c r="E52" s="2" t="s">
        <v>14</v>
      </c>
      <c r="F52" s="3">
        <v>650</v>
      </c>
      <c r="G52" s="2">
        <v>13</v>
      </c>
      <c r="H52" s="4">
        <v>0.05</v>
      </c>
      <c r="I52" s="3">
        <v>8450</v>
      </c>
      <c r="J52" s="2" t="str">
        <f>IF(SalesData[[#This Row],[Total Sales]]&gt;5000,"Qualified","Not qualified")</f>
        <v>Qualified</v>
      </c>
    </row>
    <row r="53" spans="1:10" x14ac:dyDescent="0.25">
      <c r="A53" s="2" t="s">
        <v>116</v>
      </c>
      <c r="B53" s="2" t="s">
        <v>117</v>
      </c>
      <c r="C53" s="2" t="s">
        <v>12</v>
      </c>
      <c r="D53" s="2" t="s">
        <v>16</v>
      </c>
      <c r="E53" s="2" t="s">
        <v>26</v>
      </c>
      <c r="F53" s="3">
        <v>400</v>
      </c>
      <c r="G53" s="2">
        <v>13</v>
      </c>
      <c r="H53" s="4">
        <v>0</v>
      </c>
      <c r="I53" s="3">
        <v>5200</v>
      </c>
      <c r="J53" s="2" t="str">
        <f>IF(SalesData[[#This Row],[Total Sales]]&gt;5000,"Qualified","Not qualified")</f>
        <v>Qualified</v>
      </c>
    </row>
    <row r="54" spans="1:10" x14ac:dyDescent="0.25">
      <c r="A54" s="2" t="s">
        <v>118</v>
      </c>
      <c r="B54" s="2" t="s">
        <v>24</v>
      </c>
      <c r="C54" s="2" t="s">
        <v>20</v>
      </c>
      <c r="D54" s="2" t="s">
        <v>39</v>
      </c>
      <c r="E54" s="2" t="s">
        <v>17</v>
      </c>
      <c r="F54" s="3">
        <v>200</v>
      </c>
      <c r="G54" s="2">
        <v>7</v>
      </c>
      <c r="H54" s="4">
        <v>0</v>
      </c>
      <c r="I54" s="3">
        <v>1400</v>
      </c>
      <c r="J54" s="2" t="str">
        <f>IF(SalesData[[#This Row],[Total Sales]]&gt;5000,"Qualified","Not qualified")</f>
        <v>Not qualified</v>
      </c>
    </row>
    <row r="55" spans="1:10" x14ac:dyDescent="0.25">
      <c r="A55" s="2" t="s">
        <v>119</v>
      </c>
      <c r="B55" s="2" t="s">
        <v>120</v>
      </c>
      <c r="C55" s="2" t="s">
        <v>25</v>
      </c>
      <c r="D55" s="2" t="s">
        <v>21</v>
      </c>
      <c r="E55" s="2" t="s">
        <v>43</v>
      </c>
      <c r="F55" s="3">
        <v>200</v>
      </c>
      <c r="G55" s="2">
        <v>11</v>
      </c>
      <c r="H55" s="4">
        <v>0.1</v>
      </c>
      <c r="I55" s="3">
        <v>2200</v>
      </c>
      <c r="J55" s="2" t="str">
        <f>IF(SalesData[[#This Row],[Total Sales]]&gt;5000,"Qualified","Not qualified")</f>
        <v>Not qualified</v>
      </c>
    </row>
    <row r="56" spans="1:10" x14ac:dyDescent="0.25">
      <c r="A56" s="2" t="s">
        <v>121</v>
      </c>
      <c r="B56" s="2" t="s">
        <v>96</v>
      </c>
      <c r="C56" s="2" t="s">
        <v>12</v>
      </c>
      <c r="D56" s="2" t="s">
        <v>39</v>
      </c>
      <c r="E56" s="2" t="s">
        <v>17</v>
      </c>
      <c r="F56" s="3">
        <v>650</v>
      </c>
      <c r="G56" s="2">
        <v>11</v>
      </c>
      <c r="H56" s="4">
        <v>0.03</v>
      </c>
      <c r="I56" s="3">
        <v>7150</v>
      </c>
      <c r="J56" s="2" t="str">
        <f>IF(SalesData[[#This Row],[Total Sales]]&gt;5000,"Qualified","Not qualified")</f>
        <v>Qualified</v>
      </c>
    </row>
    <row r="57" spans="1:10" x14ac:dyDescent="0.25">
      <c r="A57" s="2" t="s">
        <v>122</v>
      </c>
      <c r="B57" s="2" t="s">
        <v>11</v>
      </c>
      <c r="C57" s="2" t="s">
        <v>36</v>
      </c>
      <c r="D57" s="2" t="s">
        <v>13</v>
      </c>
      <c r="E57" s="2" t="s">
        <v>17</v>
      </c>
      <c r="F57" s="3">
        <v>500</v>
      </c>
      <c r="G57" s="2">
        <v>2</v>
      </c>
      <c r="H57" s="4">
        <v>0.1</v>
      </c>
      <c r="I57" s="3">
        <v>1000</v>
      </c>
      <c r="J57" s="2" t="str">
        <f>IF(SalesData[[#This Row],[Total Sales]]&gt;5000,"Qualified","Not qualified")</f>
        <v>Not qualified</v>
      </c>
    </row>
    <row r="58" spans="1:10" x14ac:dyDescent="0.25">
      <c r="A58" s="2" t="s">
        <v>123</v>
      </c>
      <c r="B58" s="2" t="s">
        <v>124</v>
      </c>
      <c r="C58" s="2" t="s">
        <v>12</v>
      </c>
      <c r="D58" s="2" t="s">
        <v>13</v>
      </c>
      <c r="E58" s="2" t="s">
        <v>14</v>
      </c>
      <c r="F58" s="3">
        <v>350</v>
      </c>
      <c r="G58" s="2">
        <v>2</v>
      </c>
      <c r="H58" s="4">
        <v>0.08</v>
      </c>
      <c r="I58" s="3">
        <v>700</v>
      </c>
      <c r="J58" s="2" t="str">
        <f>IF(SalesData[[#This Row],[Total Sales]]&gt;5000,"Qualified","Not qualified")</f>
        <v>Not qualified</v>
      </c>
    </row>
    <row r="59" spans="1:10" x14ac:dyDescent="0.25">
      <c r="A59" s="2" t="s">
        <v>125</v>
      </c>
      <c r="B59" s="2" t="s">
        <v>126</v>
      </c>
      <c r="C59" s="2" t="s">
        <v>12</v>
      </c>
      <c r="D59" s="2" t="s">
        <v>13</v>
      </c>
      <c r="E59" s="2" t="s">
        <v>43</v>
      </c>
      <c r="F59" s="3">
        <v>300</v>
      </c>
      <c r="G59" s="2">
        <v>4</v>
      </c>
      <c r="H59" s="4">
        <v>0</v>
      </c>
      <c r="I59" s="3">
        <v>1200</v>
      </c>
      <c r="J59" s="2" t="str">
        <f>IF(SalesData[[#This Row],[Total Sales]]&gt;5000,"Qualified","Not qualified")</f>
        <v>Not qualified</v>
      </c>
    </row>
    <row r="60" spans="1:10" x14ac:dyDescent="0.25">
      <c r="A60" s="2" t="s">
        <v>127</v>
      </c>
      <c r="B60" s="2" t="s">
        <v>128</v>
      </c>
      <c r="C60" s="2" t="s">
        <v>12</v>
      </c>
      <c r="D60" s="2" t="s">
        <v>13</v>
      </c>
      <c r="E60" s="2" t="s">
        <v>26</v>
      </c>
      <c r="F60" s="3">
        <v>400</v>
      </c>
      <c r="G60" s="2">
        <v>6</v>
      </c>
      <c r="H60" s="4">
        <v>0.1</v>
      </c>
      <c r="I60" s="3">
        <v>2400</v>
      </c>
      <c r="J60" s="2" t="str">
        <f>IF(SalesData[[#This Row],[Total Sales]]&gt;5000,"Qualified","Not qualified")</f>
        <v>Not qualified</v>
      </c>
    </row>
    <row r="61" spans="1:10" x14ac:dyDescent="0.25">
      <c r="A61" s="2" t="s">
        <v>129</v>
      </c>
      <c r="B61" s="2" t="s">
        <v>130</v>
      </c>
      <c r="C61" s="2" t="s">
        <v>20</v>
      </c>
      <c r="D61" s="2" t="s">
        <v>21</v>
      </c>
      <c r="E61" s="2" t="s">
        <v>22</v>
      </c>
      <c r="F61" s="3">
        <v>200</v>
      </c>
      <c r="G61" s="2">
        <v>4</v>
      </c>
      <c r="H61" s="4">
        <v>0.05</v>
      </c>
      <c r="I61" s="3">
        <v>800</v>
      </c>
      <c r="J61" s="2" t="str">
        <f>IF(SalesData[[#This Row],[Total Sales]]&gt;5000,"Qualified","Not qualified")</f>
        <v>Not qualified</v>
      </c>
    </row>
    <row r="62" spans="1:10" x14ac:dyDescent="0.25">
      <c r="A62" s="2" t="s">
        <v>131</v>
      </c>
      <c r="B62" s="2" t="s">
        <v>132</v>
      </c>
      <c r="C62" s="2" t="s">
        <v>29</v>
      </c>
      <c r="D62" s="2" t="s">
        <v>21</v>
      </c>
      <c r="E62" s="2" t="s">
        <v>37</v>
      </c>
      <c r="F62" s="3">
        <v>350</v>
      </c>
      <c r="G62" s="2">
        <v>5</v>
      </c>
      <c r="H62" s="4">
        <v>0.05</v>
      </c>
      <c r="I62" s="3">
        <v>1750</v>
      </c>
      <c r="J62" s="2" t="str">
        <f>IF(SalesData[[#This Row],[Total Sales]]&gt;5000,"Qualified","Not qualified")</f>
        <v>Not qualified</v>
      </c>
    </row>
    <row r="63" spans="1:10" x14ac:dyDescent="0.25">
      <c r="A63" s="2" t="s">
        <v>133</v>
      </c>
      <c r="B63" s="2" t="s">
        <v>134</v>
      </c>
      <c r="C63" s="2" t="s">
        <v>25</v>
      </c>
      <c r="D63" s="2" t="s">
        <v>16</v>
      </c>
      <c r="E63" s="2" t="s">
        <v>14</v>
      </c>
      <c r="F63" s="3">
        <v>400</v>
      </c>
      <c r="G63" s="2">
        <v>9</v>
      </c>
      <c r="H63" s="4">
        <v>0.03</v>
      </c>
      <c r="I63" s="3">
        <v>3600</v>
      </c>
      <c r="J63" s="2" t="str">
        <f>IF(SalesData[[#This Row],[Total Sales]]&gt;5000,"Qualified","Not qualified")</f>
        <v>Not qualified</v>
      </c>
    </row>
    <row r="64" spans="1:10" x14ac:dyDescent="0.25">
      <c r="A64" s="2" t="s">
        <v>135</v>
      </c>
      <c r="B64" s="2" t="s">
        <v>70</v>
      </c>
      <c r="C64" s="2" t="s">
        <v>29</v>
      </c>
      <c r="D64" s="2" t="s">
        <v>13</v>
      </c>
      <c r="E64" s="2" t="s">
        <v>26</v>
      </c>
      <c r="F64" s="3">
        <v>400</v>
      </c>
      <c r="G64" s="2">
        <v>5</v>
      </c>
      <c r="H64" s="4">
        <v>0.05</v>
      </c>
      <c r="I64" s="3">
        <v>2000</v>
      </c>
      <c r="J64" s="2" t="str">
        <f>IF(SalesData[[#This Row],[Total Sales]]&gt;5000,"Qualified","Not qualified")</f>
        <v>Not qualified</v>
      </c>
    </row>
    <row r="65" spans="1:10" x14ac:dyDescent="0.25">
      <c r="A65" s="2" t="s">
        <v>136</v>
      </c>
      <c r="B65" s="2" t="s">
        <v>42</v>
      </c>
      <c r="C65" s="2" t="s">
        <v>29</v>
      </c>
      <c r="D65" s="2" t="s">
        <v>16</v>
      </c>
      <c r="E65" s="2" t="s">
        <v>30</v>
      </c>
      <c r="F65" s="3">
        <v>250</v>
      </c>
      <c r="G65" s="2">
        <v>10</v>
      </c>
      <c r="H65" s="4">
        <v>0.08</v>
      </c>
      <c r="I65" s="3">
        <v>2500</v>
      </c>
      <c r="J65" s="2" t="str">
        <f>IF(SalesData[[#This Row],[Total Sales]]&gt;5000,"Qualified","Not qualified")</f>
        <v>Not qualified</v>
      </c>
    </row>
    <row r="66" spans="1:10" x14ac:dyDescent="0.25">
      <c r="A66" s="2" t="s">
        <v>137</v>
      </c>
      <c r="B66" s="2" t="s">
        <v>138</v>
      </c>
      <c r="C66" s="2" t="s">
        <v>20</v>
      </c>
      <c r="D66" s="2" t="s">
        <v>13</v>
      </c>
      <c r="E66" s="2" t="s">
        <v>22</v>
      </c>
      <c r="F66" s="3">
        <v>250</v>
      </c>
      <c r="G66" s="2">
        <v>5</v>
      </c>
      <c r="H66" s="4">
        <v>0.05</v>
      </c>
      <c r="I66" s="3">
        <v>1250</v>
      </c>
      <c r="J66" s="2" t="str">
        <f>IF(SalesData[[#This Row],[Total Sales]]&gt;5000,"Qualified","Not qualified")</f>
        <v>Not qualified</v>
      </c>
    </row>
    <row r="67" spans="1:10" x14ac:dyDescent="0.25">
      <c r="A67" s="2" t="s">
        <v>139</v>
      </c>
      <c r="B67" s="2" t="s">
        <v>140</v>
      </c>
      <c r="C67" s="2" t="s">
        <v>12</v>
      </c>
      <c r="D67" s="2" t="s">
        <v>16</v>
      </c>
      <c r="E67" s="2" t="s">
        <v>43</v>
      </c>
      <c r="F67" s="3">
        <v>800</v>
      </c>
      <c r="G67" s="2">
        <v>6</v>
      </c>
      <c r="H67" s="4">
        <v>0.1</v>
      </c>
      <c r="I67" s="3">
        <v>4800</v>
      </c>
      <c r="J67" s="2" t="str">
        <f>IF(SalesData[[#This Row],[Total Sales]]&gt;5000,"Qualified","Not qualified")</f>
        <v>Not qualified</v>
      </c>
    </row>
    <row r="68" spans="1:10" x14ac:dyDescent="0.25">
      <c r="A68" s="2" t="s">
        <v>141</v>
      </c>
      <c r="B68" s="2" t="s">
        <v>82</v>
      </c>
      <c r="C68" s="2" t="s">
        <v>29</v>
      </c>
      <c r="D68" s="2" t="s">
        <v>39</v>
      </c>
      <c r="E68" s="2" t="s">
        <v>61</v>
      </c>
      <c r="F68" s="3">
        <v>250</v>
      </c>
      <c r="G68" s="2">
        <v>13</v>
      </c>
      <c r="H68" s="4">
        <v>0.08</v>
      </c>
      <c r="I68" s="3">
        <v>3250</v>
      </c>
      <c r="J68" s="2" t="str">
        <f>IF(SalesData[[#This Row],[Total Sales]]&gt;5000,"Qualified","Not qualified")</f>
        <v>Not qualified</v>
      </c>
    </row>
    <row r="69" spans="1:10" x14ac:dyDescent="0.25">
      <c r="A69" s="2" t="s">
        <v>142</v>
      </c>
      <c r="B69" s="2" t="s">
        <v>82</v>
      </c>
      <c r="C69" s="2" t="s">
        <v>20</v>
      </c>
      <c r="D69" s="2" t="s">
        <v>21</v>
      </c>
      <c r="E69" s="2" t="s">
        <v>37</v>
      </c>
      <c r="F69" s="3">
        <v>300</v>
      </c>
      <c r="G69" s="2">
        <v>5</v>
      </c>
      <c r="H69" s="4">
        <v>0</v>
      </c>
      <c r="I69" s="3">
        <v>1500</v>
      </c>
      <c r="J69" s="2" t="str">
        <f>IF(SalesData[[#This Row],[Total Sales]]&gt;5000,"Qualified","Not qualified")</f>
        <v>Not qualified</v>
      </c>
    </row>
    <row r="70" spans="1:10" x14ac:dyDescent="0.25">
      <c r="A70" s="2" t="s">
        <v>143</v>
      </c>
      <c r="B70" s="2" t="s">
        <v>28</v>
      </c>
      <c r="C70" s="2" t="s">
        <v>33</v>
      </c>
      <c r="D70" s="2" t="s">
        <v>21</v>
      </c>
      <c r="E70" s="2" t="s">
        <v>17</v>
      </c>
      <c r="F70" s="3">
        <v>350</v>
      </c>
      <c r="G70" s="2">
        <v>11</v>
      </c>
      <c r="H70" s="4">
        <v>0</v>
      </c>
      <c r="I70" s="3">
        <v>3850</v>
      </c>
      <c r="J70" s="2" t="str">
        <f>IF(SalesData[[#This Row],[Total Sales]]&gt;5000,"Qualified","Not qualified")</f>
        <v>Not qualified</v>
      </c>
    </row>
    <row r="71" spans="1:10" x14ac:dyDescent="0.25">
      <c r="A71" s="2" t="s">
        <v>144</v>
      </c>
      <c r="B71" s="2" t="s">
        <v>145</v>
      </c>
      <c r="C71" s="2" t="s">
        <v>29</v>
      </c>
      <c r="D71" s="2" t="s">
        <v>21</v>
      </c>
      <c r="E71" s="2" t="s">
        <v>37</v>
      </c>
      <c r="F71" s="3">
        <v>350</v>
      </c>
      <c r="G71" s="2">
        <v>8</v>
      </c>
      <c r="H71" s="4">
        <v>0.03</v>
      </c>
      <c r="I71" s="3">
        <v>2800</v>
      </c>
      <c r="J71" s="2" t="str">
        <f>IF(SalesData[[#This Row],[Total Sales]]&gt;5000,"Qualified","Not qualified")</f>
        <v>Not qualified</v>
      </c>
    </row>
  </sheetData>
  <dataConsolidate/>
  <dataValidations count="3">
    <dataValidation type="list" allowBlank="1" showInputMessage="1" showErrorMessage="1" sqref="L3" xr:uid="{65B4E703-9A14-45A5-B039-D9873DEF5AD7}">
      <formula1>$E$2:$E$71</formula1>
    </dataValidation>
    <dataValidation type="list" allowBlank="1" showInputMessage="1" showErrorMessage="1" sqref="M3" xr:uid="{20FD7C24-A196-4D70-9373-B14CC3E65624}">
      <formula1>$D$2:$D$71</formula1>
    </dataValidation>
    <dataValidation type="list" allowBlank="1" showInputMessage="1" showErrorMessage="1" sqref="N3" xr:uid="{7EA7AE3F-E41F-4725-878E-5C4234D0737D}">
      <formula1>$C$2:$C$71</formula1>
    </dataValidation>
  </dataValidation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CD0A8-DFAF-9541-9526-7126A5020220}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 Sales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Emerald Oludunsin</cp:lastModifiedBy>
  <dcterms:created xsi:type="dcterms:W3CDTF">2026-06-25T17:15:47Z</dcterms:created>
  <dcterms:modified xsi:type="dcterms:W3CDTF">2026-07-01T14:37:26Z</dcterms:modified>
</cp:coreProperties>
</file>